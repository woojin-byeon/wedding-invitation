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LIFE\Desktop\개인\"/>
    </mc:Choice>
  </mc:AlternateContent>
  <xr:revisionPtr revIDLastSave="0" documentId="13_ncr:1_{7E945195-8AAD-4231-92C2-073862D6F6FB}" xr6:coauthVersionLast="47" xr6:coauthVersionMax="47" xr10:uidLastSave="{00000000-0000-0000-0000-000000000000}"/>
  <bookViews>
    <workbookView xWindow="-120" yWindow="-120" windowWidth="29040" windowHeight="15720" xr2:uid="{D0C1E0A2-C510-4485-8B70-32CB977C834C}"/>
  </bookViews>
  <sheets>
    <sheet name="투자현황_260730" sheetId="14" r:id="rId1"/>
  </sheets>
  <definedNames>
    <definedName name="_xlnm._FilterDatabase" localSheetId="0" hidden="1">투자현황_260730!$D$33:$I$33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4" l="1"/>
  <c r="I5" i="14"/>
  <c r="I6" i="14"/>
  <c r="I7" i="14"/>
  <c r="I11" i="14"/>
  <c r="H11" i="14" s="1"/>
  <c r="I12" i="14"/>
  <c r="H12" i="14" s="1"/>
  <c r="I13" i="14"/>
  <c r="H13" i="14" s="1"/>
  <c r="I14" i="14"/>
  <c r="H14" i="14" s="1"/>
  <c r="I15" i="14"/>
  <c r="H15" i="14" s="1"/>
  <c r="I16" i="14"/>
  <c r="I17" i="14"/>
  <c r="H17" i="14" s="1"/>
  <c r="I3" i="14"/>
  <c r="H5" i="14"/>
  <c r="F18" i="14"/>
  <c r="G18" i="14"/>
  <c r="I8" i="14" s="1"/>
  <c r="H8" i="14" s="1"/>
  <c r="G4" i="14"/>
  <c r="F4" i="14"/>
  <c r="G3" i="14"/>
  <c r="F3" i="14"/>
  <c r="I10" i="14" l="1"/>
  <c r="H10" i="14" s="1"/>
  <c r="I9" i="14"/>
  <c r="H9" i="14" s="1"/>
  <c r="H3" i="14"/>
  <c r="H4" i="14"/>
  <c r="H16" i="14"/>
</calcChain>
</file>

<file path=xl/sharedStrings.xml><?xml version="1.0" encoding="utf-8"?>
<sst xmlns="http://schemas.openxmlformats.org/spreadsheetml/2006/main" count="92" uniqueCount="87">
  <si>
    <t>구분</t>
  </si>
  <si>
    <t>하나은행 대응 상품명</t>
  </si>
  <si>
    <t>KODEX 200</t>
  </si>
  <si>
    <t>SOL 초단기채권액티브</t>
  </si>
  <si>
    <t>TIGER 인도빌리언컨슈머</t>
  </si>
  <si>
    <t>TIGER 차이나항셍테크</t>
  </si>
  <si>
    <t>하나크레딧플러스증권자투자신탁(채권)</t>
  </si>
  <si>
    <t>ACE KRX금현물</t>
  </si>
  <si>
    <t>TIGER 미국투자등급회사채액티브(H)</t>
  </si>
  <si>
    <t>미래에셋글로벌코어테크EMP</t>
  </si>
  <si>
    <t>유리글로벌Top10주식과단기채(채권혼합)</t>
  </si>
  <si>
    <t>유형</t>
  </si>
  <si>
    <t>비중(%)</t>
  </si>
  <si>
    <t>대응 신한은행 상품</t>
  </si>
  <si>
    <t>국내 주식 인덱스</t>
  </si>
  <si>
    <t>초단기 국공채</t>
  </si>
  <si>
    <t>아시아 성장주</t>
  </si>
  <si>
    <t>중국 주식</t>
  </si>
  <si>
    <t>중단기 채권</t>
  </si>
  <si>
    <t>금 ETF</t>
  </si>
  <si>
    <t>ESG/우량채</t>
  </si>
  <si>
    <t>글로벌 EMP</t>
  </si>
  <si>
    <t>리스크 완화형 EMP</t>
  </si>
  <si>
    <t>MMF (대기성 자산)</t>
  </si>
  <si>
    <t>대신KOSPI200인덱스증권자투자신탁[주식]종류C-W</t>
  </si>
  <si>
    <t>키움단기국공채증권자투자신탁제1호[채권]종류C-W</t>
  </si>
  <si>
    <t>에셋플러스슈퍼아시아리치투게더증권자투자신탁1호[주식]종류W</t>
  </si>
  <si>
    <t>KCGI차이나증권투자신탁[주식]종류C-W</t>
  </si>
  <si>
    <t>우리하이플러스채권증권자투자신탁1호[채권]종류C-W</t>
  </si>
  <si>
    <t>KB스타골드특별자산투자신탁[금-파생형]종류C-W</t>
  </si>
  <si>
    <t>한국투자크레딧포커스ESG증권자투자신탁1호[채권]종류C-W</t>
  </si>
  <si>
    <t>삼성밀당다람쥐글로벌EMP증권자투자신탁[주식혼합-재간접형]종류C-W</t>
  </si>
  <si>
    <t>삼성EMP리얼리턴증권자투자신탁UH[주식혼합-재간접형]종류C-W</t>
  </si>
  <si>
    <t>NH-Amundi개인신종MMF1호종류C-W</t>
  </si>
  <si>
    <t>ISA_미운용(현금성)자산</t>
  </si>
  <si>
    <t>현금성 자산</t>
    <phoneticPr fontId="2" type="noConversion"/>
  </si>
  <si>
    <t>현금성 대기 자산</t>
    <phoneticPr fontId="2" type="noConversion"/>
  </si>
  <si>
    <t>키움올바른ESG증권투자신탁제1호(주식)Ce</t>
  </si>
  <si>
    <t>유리글로벌Top10주식과단기채(채권혼합)Ce</t>
  </si>
  <si>
    <t>미래에셋글로벌코어테크EMP자투자(주식)Ce</t>
  </si>
  <si>
    <t>하나크레딧플러스증권자투자신탁(채권)Ce</t>
  </si>
  <si>
    <t>삼성글로벌배당귀족ESG증권자투자H(주식)Ce</t>
  </si>
  <si>
    <t>하나 클래스원신종MMF(K-5호)C</t>
  </si>
  <si>
    <t>다올JP모건글로벌투자적격회사채H(재간접Ce</t>
  </si>
  <si>
    <t>유리빠른환매미국고배당40채권혼합재간접Ce</t>
  </si>
  <si>
    <t>SOL 금융지주플러스고배당</t>
  </si>
  <si>
    <t>TIGER 미국테크TOP10INDXX(H)</t>
  </si>
  <si>
    <t>KODEX 로봇액티브</t>
  </si>
  <si>
    <t>TIGER 미국필라델피아반도체나스닥</t>
  </si>
  <si>
    <t>PLUS 고배당주</t>
  </si>
  <si>
    <t>TIGER 미국나스닥100</t>
  </si>
  <si>
    <t>KODEX 미국나스닥100</t>
  </si>
  <si>
    <t>TIGER 소프트웨어</t>
  </si>
  <si>
    <t>KODEX 바이오</t>
  </si>
  <si>
    <t>TIGER 헬스케어</t>
  </si>
  <si>
    <t>KODEX 미국S&amp;P500</t>
  </si>
  <si>
    <t>TIGER 미국S&amp;P500</t>
  </si>
  <si>
    <t>KODEX AI반도체</t>
  </si>
  <si>
    <t>TIGER Fn반도체TOP10</t>
  </si>
  <si>
    <t>KODEX 코스닥150</t>
  </si>
  <si>
    <t>KODEX 삼성그룹</t>
  </si>
  <si>
    <t>KODEX 반도체</t>
  </si>
  <si>
    <t>KODEX 자동차</t>
  </si>
  <si>
    <t>ACE 글로벌인컴TOP10SOLACTIVE</t>
  </si>
  <si>
    <t>KODEX 33-06국고채액티브</t>
  </si>
  <si>
    <t>1Q 머니마켓액티브</t>
  </si>
  <si>
    <t>KIWOOM 국고채30년액티브</t>
  </si>
  <si>
    <t>1Q 코리아밸류업</t>
  </si>
  <si>
    <t>KODEX 미국30년국채액티브(H)</t>
  </si>
  <si>
    <t>KODEX 2차전지산업</t>
  </si>
  <si>
    <t>매매 필요 금액</t>
    <phoneticPr fontId="2" type="noConversion"/>
  </si>
  <si>
    <t>신한미국S&amp;P500인덱스증권자투자신탁(H)[주식-파생형]종류C-W</t>
  </si>
  <si>
    <t>삼성코스닥150인덱스증권투자신탁[주식-파생형]종류C-W</t>
  </si>
  <si>
    <t>평가금액</t>
    <phoneticPr fontId="2" type="noConversion"/>
  </si>
  <si>
    <t>투자원금</t>
    <phoneticPr fontId="2" type="noConversion"/>
  </si>
  <si>
    <t>KODEX, TIGER 미국S&amp;P500</t>
    <phoneticPr fontId="2" type="noConversion"/>
  </si>
  <si>
    <t>TIGER코스닥150</t>
    <phoneticPr fontId="2" type="noConversion"/>
  </si>
  <si>
    <t>ACE 글로벌인컴TOP10</t>
    <phoneticPr fontId="2" type="noConversion"/>
  </si>
  <si>
    <t>미국 주식 인덱스</t>
    <phoneticPr fontId="2" type="noConversion"/>
  </si>
  <si>
    <t>목표 금액(원)</t>
    <phoneticPr fontId="2" type="noConversion"/>
  </si>
  <si>
    <t>하나 클래스원신종MMF(K-5호)</t>
    <phoneticPr fontId="2" type="noConversion"/>
  </si>
  <si>
    <t>피델리티글로벌배당인컴증권자투자신탁[주식-재간접형]종류C-W</t>
  </si>
  <si>
    <t>베어링고배당증권자투자신탁[주식]종류C-W</t>
  </si>
  <si>
    <t>글로벌 배당</t>
    <phoneticPr fontId="2" type="noConversion"/>
  </si>
  <si>
    <t>국내 주도주 배당</t>
    <phoneticPr fontId="2" type="noConversion"/>
  </si>
  <si>
    <t>KODEX2차전지산업, 자동차, 반도체</t>
    <phoneticPr fontId="2" type="noConversion"/>
  </si>
  <si>
    <t>[매수 가능한 하나은행 상품]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</si>
</sst>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1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76" fontId="4" fillId="0" borderId="0" xfId="0" applyNumberFormat="1" applyFont="1" applyAlignment="1">
      <alignment vertical="center" wrapText="1"/>
    </xf>
    <xf numFmtId="176" fontId="4" fillId="0" borderId="7" xfId="0" applyNumberFormat="1" applyFont="1" applyBorder="1" applyAlignment="1">
      <alignment vertical="center" wrapText="1"/>
    </xf>
    <xf numFmtId="0" fontId="5" fillId="3" borderId="0" xfId="1" applyFont="1" applyFill="1" applyAlignment="1">
      <alignment horizontal="left" vertical="center" wrapText="1"/>
    </xf>
    <xf numFmtId="0" fontId="5" fillId="3" borderId="7" xfId="1" applyFont="1" applyFill="1" applyBorder="1" applyAlignment="1">
      <alignment horizontal="left" vertical="center" wrapText="1"/>
    </xf>
    <xf numFmtId="176" fontId="4" fillId="4" borderId="0" xfId="0" applyNumberFormat="1" applyFont="1" applyFill="1" applyAlignment="1">
      <alignment vertical="center" wrapText="1"/>
    </xf>
    <xf numFmtId="176" fontId="4" fillId="4" borderId="0" xfId="0" applyNumberFormat="1" applyFont="1" applyFill="1">
      <alignment vertical="center"/>
    </xf>
    <xf numFmtId="176" fontId="4" fillId="4" borderId="7" xfId="0" applyNumberFormat="1" applyFont="1" applyFill="1" applyBorder="1" applyAlignment="1">
      <alignment vertical="center" wrapText="1"/>
    </xf>
    <xf numFmtId="176" fontId="4" fillId="4" borderId="7" xfId="0" applyNumberFormat="1" applyFont="1" applyFill="1" applyBorder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6" fillId="0" borderId="0" xfId="0" applyFont="1">
      <alignment vertical="center"/>
    </xf>
    <xf numFmtId="0" fontId="9" fillId="3" borderId="0" xfId="1" applyFont="1" applyFill="1" applyAlignment="1">
      <alignment horizontal="left" vertical="center" wrapText="1"/>
    </xf>
    <xf numFmtId="176" fontId="0" fillId="0" borderId="0" xfId="0" applyNumberFormat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10" fillId="0" borderId="4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176" fontId="10" fillId="0" borderId="0" xfId="0" applyNumberFormat="1" applyFont="1" applyAlignment="1">
      <alignment vertical="center" wrapText="1"/>
    </xf>
    <xf numFmtId="176" fontId="10" fillId="4" borderId="0" xfId="0" applyNumberFormat="1" applyFont="1" applyFill="1" applyAlignment="1">
      <alignment vertical="center" wrapText="1"/>
    </xf>
    <xf numFmtId="176" fontId="10" fillId="4" borderId="0" xfId="0" applyNumberFormat="1" applyFont="1" applyFill="1">
      <alignment vertical="center"/>
    </xf>
    <xf numFmtId="0" fontId="8" fillId="3" borderId="5" xfId="1" applyFont="1" applyFill="1" applyBorder="1" applyAlignment="1">
      <alignment horizontal="right" vertical="center" wrapText="1"/>
    </xf>
    <xf numFmtId="0" fontId="4" fillId="0" borderId="5" xfId="0" applyFont="1" applyBorder="1">
      <alignment vertical="center"/>
    </xf>
    <xf numFmtId="0" fontId="7" fillId="3" borderId="0" xfId="1" applyFont="1" applyFill="1" applyAlignment="1">
      <alignment horizontal="left" vertical="center" wrapText="1"/>
    </xf>
    <xf numFmtId="176" fontId="1" fillId="0" borderId="0" xfId="0" applyNumberFormat="1" applyFont="1" applyAlignment="1">
      <alignment vertical="center" wrapText="1"/>
    </xf>
    <xf numFmtId="176" fontId="1" fillId="4" borderId="0" xfId="0" applyNumberFormat="1" applyFont="1" applyFill="1" applyAlignment="1">
      <alignment vertical="center" wrapText="1"/>
    </xf>
    <xf numFmtId="176" fontId="1" fillId="4" borderId="0" xfId="0" applyNumberFormat="1" applyFont="1" applyFill="1">
      <alignment vertical="center"/>
    </xf>
    <xf numFmtId="0" fontId="1" fillId="0" borderId="5" xfId="0" applyFont="1" applyBorder="1">
      <alignment vertical="center"/>
    </xf>
  </cellXfs>
  <cellStyles count="2">
    <cellStyle name="표준" xfId="0" builtinId="0"/>
    <cellStyle name="표준 2" xfId="1" xr:uid="{55AE20C8-AB9D-46F5-8A04-9080DED62D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4CAB-8631-41E7-8541-C555989B8B92}">
  <dimension ref="B2:J61"/>
  <sheetViews>
    <sheetView tabSelected="1" zoomScaleNormal="100" workbookViewId="0"/>
  </sheetViews>
  <sheetFormatPr defaultRowHeight="16.5" x14ac:dyDescent="0.3"/>
  <cols>
    <col min="1" max="1" width="4.625" customWidth="1"/>
    <col min="2" max="2" width="5.25" bestFit="1" customWidth="1"/>
    <col min="3" max="3" width="39" bestFit="1" customWidth="1"/>
    <col min="4" max="4" width="58.125" customWidth="1"/>
    <col min="5" max="5" width="18.75" customWidth="1"/>
    <col min="6" max="6" width="13.25" customWidth="1"/>
    <col min="7" max="7" width="18.25" customWidth="1"/>
    <col min="8" max="8" width="15.875" customWidth="1"/>
    <col min="9" max="9" width="17.875" customWidth="1"/>
    <col min="10" max="10" width="10.625" bestFit="1" customWidth="1"/>
  </cols>
  <sheetData>
    <row r="2" spans="2:10" x14ac:dyDescent="0.3">
      <c r="B2" s="2" t="s">
        <v>0</v>
      </c>
      <c r="C2" s="3" t="s">
        <v>1</v>
      </c>
      <c r="D2" s="3" t="s">
        <v>13</v>
      </c>
      <c r="E2" s="3" t="s">
        <v>11</v>
      </c>
      <c r="F2" s="3" t="s">
        <v>74</v>
      </c>
      <c r="G2" s="17" t="s">
        <v>73</v>
      </c>
      <c r="H2" s="17" t="s">
        <v>70</v>
      </c>
      <c r="I2" s="17" t="s">
        <v>79</v>
      </c>
      <c r="J2" s="4" t="s">
        <v>12</v>
      </c>
    </row>
    <row r="3" spans="2:10" x14ac:dyDescent="0.3">
      <c r="B3" s="7">
        <v>1</v>
      </c>
      <c r="C3" t="s">
        <v>75</v>
      </c>
      <c r="D3" s="11" t="s">
        <v>71</v>
      </c>
      <c r="E3" t="s">
        <v>78</v>
      </c>
      <c r="F3" s="9">
        <f>4190713+4312870</f>
        <v>8503583</v>
      </c>
      <c r="G3" s="13">
        <f>4361037+4466314</f>
        <v>8827351</v>
      </c>
      <c r="H3" s="13">
        <f t="shared" ref="H3" si="0">I3-G3</f>
        <v>-159022.98455859348</v>
      </c>
      <c r="I3" s="14">
        <f>$G$18*J3/100</f>
        <v>8668328.0154414065</v>
      </c>
      <c r="J3" s="22">
        <v>22.298806267830184</v>
      </c>
    </row>
    <row r="4" spans="2:10" x14ac:dyDescent="0.3">
      <c r="B4" s="7">
        <v>2</v>
      </c>
      <c r="C4" s="5" t="s">
        <v>85</v>
      </c>
      <c r="D4" s="11" t="s">
        <v>24</v>
      </c>
      <c r="E4" s="5" t="s">
        <v>14</v>
      </c>
      <c r="F4" s="9">
        <f>1865765+1747790+306085</f>
        <v>3919640</v>
      </c>
      <c r="G4" s="13">
        <f>1492398+1747790+196536</f>
        <v>3436724</v>
      </c>
      <c r="H4" s="13">
        <f>I4-G4</f>
        <v>6541848.4425225258</v>
      </c>
      <c r="I4" s="14">
        <f t="shared" ref="I4:I17" si="1">$G$18*J4/100</f>
        <v>9978572.4425225258</v>
      </c>
      <c r="J4" s="22">
        <v>25.669339384590451</v>
      </c>
    </row>
    <row r="5" spans="2:10" x14ac:dyDescent="0.3">
      <c r="B5" s="7">
        <v>3</v>
      </c>
      <c r="C5" s="5" t="s">
        <v>3</v>
      </c>
      <c r="D5" s="11" t="s">
        <v>25</v>
      </c>
      <c r="E5" s="5" t="s">
        <v>15</v>
      </c>
      <c r="F5" s="9">
        <v>2738892</v>
      </c>
      <c r="G5" s="13">
        <v>2753434</v>
      </c>
      <c r="H5" s="13">
        <f>I5-G5</f>
        <v>10268155.637043769</v>
      </c>
      <c r="I5" s="14">
        <f t="shared" si="1"/>
        <v>13021589.637043769</v>
      </c>
      <c r="J5" s="30">
        <v>33.4973369833696</v>
      </c>
    </row>
    <row r="6" spans="2:10" s="19" customFormat="1" x14ac:dyDescent="0.3">
      <c r="B6" s="18">
        <v>4</v>
      </c>
      <c r="C6" s="1"/>
      <c r="D6" s="31" t="s">
        <v>82</v>
      </c>
      <c r="E6" s="1" t="s">
        <v>84</v>
      </c>
      <c r="F6" s="32">
        <v>0</v>
      </c>
      <c r="G6" s="33">
        <v>0</v>
      </c>
      <c r="H6" s="33"/>
      <c r="I6" s="34">
        <f t="shared" si="1"/>
        <v>3174981.8010999779</v>
      </c>
      <c r="J6" s="35">
        <v>8.1674694313018321</v>
      </c>
    </row>
    <row r="7" spans="2:10" s="19" customFormat="1" x14ac:dyDescent="0.3">
      <c r="B7" s="18">
        <v>5</v>
      </c>
      <c r="C7" s="1"/>
      <c r="D7" s="31" t="s">
        <v>81</v>
      </c>
      <c r="E7" s="1" t="s">
        <v>83</v>
      </c>
      <c r="F7" s="32">
        <v>0</v>
      </c>
      <c r="G7" s="33">
        <v>0</v>
      </c>
      <c r="H7" s="33"/>
      <c r="I7" s="34">
        <f t="shared" si="1"/>
        <v>1193141.7838460153</v>
      </c>
      <c r="J7" s="35">
        <v>3.0692928833151467</v>
      </c>
    </row>
    <row r="8" spans="2:10" x14ac:dyDescent="0.3">
      <c r="B8" s="24">
        <v>6</v>
      </c>
      <c r="C8" s="25" t="s">
        <v>9</v>
      </c>
      <c r="D8" s="20" t="s">
        <v>31</v>
      </c>
      <c r="E8" s="25" t="s">
        <v>21</v>
      </c>
      <c r="F8" s="26">
        <v>5221263</v>
      </c>
      <c r="G8" s="27">
        <v>5589611</v>
      </c>
      <c r="H8" s="27">
        <f t="shared" ref="H8:H17" si="2">I8-G8</f>
        <v>-5589611</v>
      </c>
      <c r="I8" s="28">
        <f t="shared" si="1"/>
        <v>0</v>
      </c>
      <c r="J8" s="29">
        <v>0</v>
      </c>
    </row>
    <row r="9" spans="2:10" x14ac:dyDescent="0.3">
      <c r="B9" s="24">
        <v>7</v>
      </c>
      <c r="C9" s="25" t="s">
        <v>8</v>
      </c>
      <c r="D9" s="20" t="s">
        <v>30</v>
      </c>
      <c r="E9" s="25" t="s">
        <v>20</v>
      </c>
      <c r="F9" s="26">
        <v>4675535</v>
      </c>
      <c r="G9" s="27">
        <v>4506454</v>
      </c>
      <c r="H9" s="27">
        <f t="shared" si="2"/>
        <v>-4506454</v>
      </c>
      <c r="I9" s="28">
        <f t="shared" si="1"/>
        <v>0</v>
      </c>
      <c r="J9" s="29">
        <v>0</v>
      </c>
    </row>
    <row r="10" spans="2:10" x14ac:dyDescent="0.3">
      <c r="B10" s="24">
        <v>8</v>
      </c>
      <c r="C10" s="25" t="s">
        <v>10</v>
      </c>
      <c r="D10" s="20" t="s">
        <v>32</v>
      </c>
      <c r="E10" s="25" t="s">
        <v>22</v>
      </c>
      <c r="F10" s="26">
        <v>3671478</v>
      </c>
      <c r="G10" s="27">
        <v>3919166</v>
      </c>
      <c r="H10" s="27">
        <f t="shared" si="2"/>
        <v>-3919166</v>
      </c>
      <c r="I10" s="28">
        <f t="shared" si="1"/>
        <v>0</v>
      </c>
      <c r="J10" s="29">
        <v>0</v>
      </c>
    </row>
    <row r="11" spans="2:10" x14ac:dyDescent="0.3">
      <c r="B11" s="24">
        <v>9</v>
      </c>
      <c r="C11" s="25" t="s">
        <v>76</v>
      </c>
      <c r="D11" s="20" t="s">
        <v>72</v>
      </c>
      <c r="E11" s="25" t="s">
        <v>14</v>
      </c>
      <c r="F11" s="26">
        <v>0</v>
      </c>
      <c r="G11" s="27">
        <v>0</v>
      </c>
      <c r="H11" s="27">
        <f t="shared" si="2"/>
        <v>0</v>
      </c>
      <c r="I11" s="28">
        <f t="shared" si="1"/>
        <v>0</v>
      </c>
      <c r="J11" s="29">
        <v>0</v>
      </c>
    </row>
    <row r="12" spans="2:10" x14ac:dyDescent="0.3">
      <c r="B12" s="24">
        <v>10</v>
      </c>
      <c r="C12" s="25" t="s">
        <v>7</v>
      </c>
      <c r="D12" s="20" t="s">
        <v>29</v>
      </c>
      <c r="E12" s="25" t="s">
        <v>19</v>
      </c>
      <c r="F12" s="26">
        <v>2765613</v>
      </c>
      <c r="G12" s="27">
        <v>2935151</v>
      </c>
      <c r="H12" s="27">
        <f t="shared" si="2"/>
        <v>-2935151</v>
      </c>
      <c r="I12" s="28">
        <f t="shared" si="1"/>
        <v>0</v>
      </c>
      <c r="J12" s="29">
        <v>0</v>
      </c>
    </row>
    <row r="13" spans="2:10" x14ac:dyDescent="0.3">
      <c r="B13" s="24">
        <v>11</v>
      </c>
      <c r="C13" s="25" t="s">
        <v>4</v>
      </c>
      <c r="D13" s="20" t="s">
        <v>26</v>
      </c>
      <c r="E13" s="25" t="s">
        <v>16</v>
      </c>
      <c r="F13" s="26">
        <v>2390957</v>
      </c>
      <c r="G13" s="27">
        <v>2491808</v>
      </c>
      <c r="H13" s="27">
        <f t="shared" si="2"/>
        <v>-2491808</v>
      </c>
      <c r="I13" s="28">
        <f t="shared" si="1"/>
        <v>0</v>
      </c>
      <c r="J13" s="29">
        <v>0</v>
      </c>
    </row>
    <row r="14" spans="2:10" x14ac:dyDescent="0.3">
      <c r="B14" s="24">
        <v>12</v>
      </c>
      <c r="C14" s="25" t="s">
        <v>77</v>
      </c>
      <c r="D14" s="20" t="s">
        <v>27</v>
      </c>
      <c r="E14" s="25" t="s">
        <v>17</v>
      </c>
      <c r="F14" s="26">
        <v>2141960</v>
      </c>
      <c r="G14" s="27">
        <v>2079748</v>
      </c>
      <c r="H14" s="27">
        <f t="shared" si="2"/>
        <v>-2079748</v>
      </c>
      <c r="I14" s="28">
        <f t="shared" si="1"/>
        <v>0</v>
      </c>
      <c r="J14" s="29">
        <v>0</v>
      </c>
    </row>
    <row r="15" spans="2:10" x14ac:dyDescent="0.3">
      <c r="B15" s="24">
        <v>13</v>
      </c>
      <c r="C15" s="25" t="s">
        <v>6</v>
      </c>
      <c r="D15" s="20" t="s">
        <v>28</v>
      </c>
      <c r="E15" s="25" t="s">
        <v>18</v>
      </c>
      <c r="F15" s="26">
        <v>2018777</v>
      </c>
      <c r="G15" s="27">
        <v>2026064</v>
      </c>
      <c r="H15" s="27">
        <f t="shared" si="2"/>
        <v>-2026064</v>
      </c>
      <c r="I15" s="28">
        <f t="shared" si="1"/>
        <v>0</v>
      </c>
      <c r="J15" s="29">
        <v>0</v>
      </c>
    </row>
    <row r="16" spans="2:10" x14ac:dyDescent="0.3">
      <c r="B16" s="7">
        <v>14</v>
      </c>
      <c r="C16" s="5" t="s">
        <v>80</v>
      </c>
      <c r="D16" s="11" t="s">
        <v>33</v>
      </c>
      <c r="E16" s="5" t="s">
        <v>23</v>
      </c>
      <c r="F16" s="9">
        <v>300899</v>
      </c>
      <c r="G16" s="13">
        <v>307996</v>
      </c>
      <c r="H16" s="13">
        <f t="shared" si="2"/>
        <v>415135.96773128735</v>
      </c>
      <c r="I16" s="14">
        <f t="shared" si="1"/>
        <v>723131.96773128735</v>
      </c>
      <c r="J16" s="22">
        <v>1.8602179827286676</v>
      </c>
    </row>
    <row r="17" spans="2:10" x14ac:dyDescent="0.3">
      <c r="B17" s="8">
        <v>15</v>
      </c>
      <c r="C17" s="6" t="s">
        <v>35</v>
      </c>
      <c r="D17" s="12" t="s">
        <v>34</v>
      </c>
      <c r="E17" s="6" t="s">
        <v>36</v>
      </c>
      <c r="F17" s="10">
        <v>24931</v>
      </c>
      <c r="G17" s="15"/>
      <c r="H17" s="15">
        <f t="shared" si="2"/>
        <v>2113761.3523150156</v>
      </c>
      <c r="I17" s="16">
        <f t="shared" si="1"/>
        <v>2113761.3523150156</v>
      </c>
      <c r="J17" s="23">
        <v>5.4375370668641123</v>
      </c>
    </row>
    <row r="18" spans="2:10" x14ac:dyDescent="0.3">
      <c r="F18" s="21">
        <f>SUM(F3:F17)</f>
        <v>38373528</v>
      </c>
      <c r="G18" s="21">
        <f>SUM(G3:G17)</f>
        <v>38873507</v>
      </c>
    </row>
    <row r="19" spans="2:10" x14ac:dyDescent="0.3">
      <c r="F19" s="9"/>
      <c r="G19" s="9"/>
    </row>
    <row r="22" spans="2:10" x14ac:dyDescent="0.3">
      <c r="C22" t="s">
        <v>86</v>
      </c>
    </row>
    <row r="23" spans="2:10" x14ac:dyDescent="0.3">
      <c r="C23" t="s">
        <v>37</v>
      </c>
    </row>
    <row r="24" spans="2:10" x14ac:dyDescent="0.3">
      <c r="C24" t="s">
        <v>38</v>
      </c>
    </row>
    <row r="25" spans="2:10" x14ac:dyDescent="0.3">
      <c r="C25" t="s">
        <v>39</v>
      </c>
    </row>
    <row r="26" spans="2:10" x14ac:dyDescent="0.3">
      <c r="C26" t="s">
        <v>40</v>
      </c>
    </row>
    <row r="27" spans="2:10" x14ac:dyDescent="0.3">
      <c r="C27" t="s">
        <v>41</v>
      </c>
    </row>
    <row r="28" spans="2:10" x14ac:dyDescent="0.3">
      <c r="C28" t="s">
        <v>42</v>
      </c>
    </row>
    <row r="29" spans="2:10" x14ac:dyDescent="0.3">
      <c r="C29" t="s">
        <v>43</v>
      </c>
    </row>
    <row r="30" spans="2:10" x14ac:dyDescent="0.3">
      <c r="C30" t="s">
        <v>44</v>
      </c>
    </row>
    <row r="31" spans="2:10" x14ac:dyDescent="0.3">
      <c r="C31" t="s">
        <v>5</v>
      </c>
    </row>
    <row r="32" spans="2:10" x14ac:dyDescent="0.3">
      <c r="C32" t="s">
        <v>45</v>
      </c>
    </row>
    <row r="33" spans="3:3" x14ac:dyDescent="0.3">
      <c r="C33" t="s">
        <v>46</v>
      </c>
    </row>
    <row r="34" spans="3:3" x14ac:dyDescent="0.3">
      <c r="C34" t="s">
        <v>47</v>
      </c>
    </row>
    <row r="35" spans="3:3" x14ac:dyDescent="0.3">
      <c r="C35" t="s">
        <v>48</v>
      </c>
    </row>
    <row r="36" spans="3:3" x14ac:dyDescent="0.3">
      <c r="C36" t="s">
        <v>49</v>
      </c>
    </row>
    <row r="37" spans="3:3" x14ac:dyDescent="0.3">
      <c r="C37" t="s">
        <v>7</v>
      </c>
    </row>
    <row r="38" spans="3:3" x14ac:dyDescent="0.3">
      <c r="C38" t="s">
        <v>50</v>
      </c>
    </row>
    <row r="39" spans="3:3" x14ac:dyDescent="0.3">
      <c r="C39" t="s">
        <v>51</v>
      </c>
    </row>
    <row r="40" spans="3:3" x14ac:dyDescent="0.3">
      <c r="C40" t="s">
        <v>52</v>
      </c>
    </row>
    <row r="41" spans="3:3" x14ac:dyDescent="0.3">
      <c r="C41" t="s">
        <v>2</v>
      </c>
    </row>
    <row r="42" spans="3:3" x14ac:dyDescent="0.3">
      <c r="C42" t="s">
        <v>53</v>
      </c>
    </row>
    <row r="43" spans="3:3" x14ac:dyDescent="0.3">
      <c r="C43" t="s">
        <v>54</v>
      </c>
    </row>
    <row r="44" spans="3:3" x14ac:dyDescent="0.3">
      <c r="C44" t="s">
        <v>55</v>
      </c>
    </row>
    <row r="45" spans="3:3" x14ac:dyDescent="0.3">
      <c r="C45" t="s">
        <v>56</v>
      </c>
    </row>
    <row r="46" spans="3:3" x14ac:dyDescent="0.3">
      <c r="C46" t="s">
        <v>57</v>
      </c>
    </row>
    <row r="47" spans="3:3" x14ac:dyDescent="0.3">
      <c r="C47" t="s">
        <v>58</v>
      </c>
    </row>
    <row r="48" spans="3:3" x14ac:dyDescent="0.3">
      <c r="C48" t="s">
        <v>59</v>
      </c>
    </row>
    <row r="49" spans="3:3" x14ac:dyDescent="0.3">
      <c r="C49" t="s">
        <v>60</v>
      </c>
    </row>
    <row r="50" spans="3:3" x14ac:dyDescent="0.3">
      <c r="C50" t="s">
        <v>61</v>
      </c>
    </row>
    <row r="51" spans="3:3" x14ac:dyDescent="0.3">
      <c r="C51" t="s">
        <v>62</v>
      </c>
    </row>
    <row r="52" spans="3:3" x14ac:dyDescent="0.3">
      <c r="C52" t="s">
        <v>63</v>
      </c>
    </row>
    <row r="53" spans="3:3" x14ac:dyDescent="0.3">
      <c r="C53" t="s">
        <v>3</v>
      </c>
    </row>
    <row r="54" spans="3:3" x14ac:dyDescent="0.3">
      <c r="C54" t="s">
        <v>64</v>
      </c>
    </row>
    <row r="55" spans="3:3" x14ac:dyDescent="0.3">
      <c r="C55" t="s">
        <v>65</v>
      </c>
    </row>
    <row r="56" spans="3:3" x14ac:dyDescent="0.3">
      <c r="C56" t="s">
        <v>66</v>
      </c>
    </row>
    <row r="57" spans="3:3" x14ac:dyDescent="0.3">
      <c r="C57" t="s">
        <v>67</v>
      </c>
    </row>
    <row r="58" spans="3:3" x14ac:dyDescent="0.3">
      <c r="C58" t="s">
        <v>8</v>
      </c>
    </row>
    <row r="59" spans="3:3" x14ac:dyDescent="0.3">
      <c r="C59" t="s">
        <v>4</v>
      </c>
    </row>
    <row r="60" spans="3:3" x14ac:dyDescent="0.3">
      <c r="C60" t="s">
        <v>68</v>
      </c>
    </row>
    <row r="61" spans="3:3" x14ac:dyDescent="0.3">
      <c r="C61" t="s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투자현황_260730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변우진</dc:creator>
  <cp:lastModifiedBy>변우진</cp:lastModifiedBy>
  <dcterms:created xsi:type="dcterms:W3CDTF">2025-08-06T00:37:58Z</dcterms:created>
  <dcterms:modified xsi:type="dcterms:W3CDTF">2026-07-30T04:52:02Z</dcterms:modified>
</cp:coreProperties>
</file>